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<sst xmlns="http://schemas.openxmlformats.org/spreadsheetml/2006/main" count="23" uniqueCount="15">
  <si>
    <t>Minimax (Articulate Tutor)</t>
  </si>
  <si>
    <t>FreeTTS.RU (Маргарита)</t>
  </si>
  <si>
    <t>Yandex SpeechKit (Филипп)</t>
  </si>
  <si>
    <t>Сбер SaluteSpeech (Тарас)</t>
  </si>
  <si>
    <t>X.AI  (Eve)</t>
  </si>
  <si>
    <t>Среднее время:</t>
  </si>
  <si>
    <t>скорость обработки А</t>
  </si>
  <si>
    <t>скорость обработки Б</t>
  </si>
  <si>
    <t>скорость обработки В</t>
  </si>
  <si>
    <t>скорость обработки Г</t>
  </si>
  <si>
    <t>% ошибок А</t>
  </si>
  <si>
    <t>% ошибок Б</t>
  </si>
  <si>
    <t>% ошибок В</t>
  </si>
  <si>
    <t>% ошибок Г</t>
  </si>
  <si>
    <t>% в общем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</si>
</sst>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Среднее время до первого звука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'1'!$I$1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'1'!$I$2</c:f>
              <c:numCache/>
            </c:numRef>
          </c:val>
        </c:ser>
        <c:ser>
          <c:idx val="1"/>
          <c:order val="1"/>
          <c:tx>
            <c:strRef>
              <c:f>'1'!$J$1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'1'!$J$2</c:f>
              <c:numCache/>
            </c:numRef>
          </c:val>
        </c:ser>
        <c:ser>
          <c:idx val="2"/>
          <c:order val="2"/>
          <c:tx>
            <c:strRef>
              <c:f>'1'!$K$1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'1'!$K$2</c:f>
              <c:numCache/>
            </c:numRef>
          </c:val>
        </c:ser>
        <c:ser>
          <c:idx val="3"/>
          <c:order val="3"/>
          <c:tx>
            <c:strRef>
              <c:f>'1'!$L$1</c:f>
            </c:strRef>
          </c:tx>
          <c:spPr>
            <a:solidFill>
              <a:schemeClr val="accent4"/>
            </a:solidFill>
            <a:ln cmpd="sng">
              <a:noFill/>
            </a:ln>
          </c:spPr>
          <c:val>
            <c:numRef>
              <c:f>'1'!$L$2</c:f>
              <c:numCache/>
            </c:numRef>
          </c:val>
        </c:ser>
        <c:ser>
          <c:idx val="4"/>
          <c:order val="4"/>
          <c:tx>
            <c:strRef>
              <c:f>'1'!$M$1</c:f>
            </c:strRef>
          </c:tx>
          <c:spPr>
            <a:solidFill>
              <a:schemeClr val="accent5"/>
            </a:solidFill>
            <a:ln cmpd="sng">
              <a:noFill/>
            </a:ln>
          </c:spPr>
          <c:val>
            <c:numRef>
              <c:f>'1'!$M$2</c:f>
              <c:numCache/>
            </c:numRef>
          </c:val>
        </c:ser>
        <c:axId val="441179108"/>
        <c:axId val="1322872724"/>
      </c:barChart>
      <c:catAx>
        <c:axId val="441179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2872724"/>
      </c:catAx>
      <c:valAx>
        <c:axId val="1322872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11791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Процент ошибочного чтения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'1'!$A$36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'1'!$B$35:$F$35</c:f>
            </c:strRef>
          </c:cat>
          <c:val>
            <c:numRef>
              <c:f>'1'!$B$36:$F$36</c:f>
              <c:numCache/>
            </c:numRef>
          </c:val>
        </c:ser>
        <c:ser>
          <c:idx val="1"/>
          <c:order val="1"/>
          <c:tx>
            <c:strRef>
              <c:f>'1'!$A$37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'1'!$B$35:$F$35</c:f>
            </c:strRef>
          </c:cat>
          <c:val>
            <c:numRef>
              <c:f>'1'!$B$37:$F$37</c:f>
              <c:numCache/>
            </c:numRef>
          </c:val>
        </c:ser>
        <c:ser>
          <c:idx val="2"/>
          <c:order val="2"/>
          <c:tx>
            <c:strRef>
              <c:f>'1'!$A$38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'1'!$B$35:$F$35</c:f>
            </c:strRef>
          </c:cat>
          <c:val>
            <c:numRef>
              <c:f>'1'!$B$38:$F$38</c:f>
              <c:numCache/>
            </c:numRef>
          </c:val>
        </c:ser>
        <c:ser>
          <c:idx val="3"/>
          <c:order val="3"/>
          <c:tx>
            <c:strRef>
              <c:f>'1'!$A$39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'1'!$B$35:$F$35</c:f>
            </c:strRef>
          </c:cat>
          <c:val>
            <c:numRef>
              <c:f>'1'!$B$39:$F$39</c:f>
              <c:numCache/>
            </c:numRef>
          </c:val>
        </c:ser>
        <c:axId val="2039494062"/>
        <c:axId val="14292701"/>
      </c:barChart>
      <c:catAx>
        <c:axId val="20394940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92701"/>
      </c:catAx>
      <c:valAx>
        <c:axId val="14292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94940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9</xdr:row>
      <xdr:rowOff>171450</xdr:rowOff>
    </xdr:from>
    <xdr:ext cx="6381750" cy="416242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352425</xdr:colOff>
      <xdr:row>9</xdr:row>
      <xdr:rowOff>171450</xdr:rowOff>
    </xdr:from>
    <xdr:ext cx="7543800" cy="464820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0.75"/>
    <col customWidth="1" min="3" max="3" width="21.0"/>
    <col customWidth="1" min="4" max="4" width="23.13"/>
    <col customWidth="1" min="5" max="5" width="23.25"/>
    <col customWidth="1" min="6" max="6" width="14.0"/>
    <col customWidth="1" min="8" max="8" width="16.75"/>
    <col customWidth="1" min="9" max="13" width="19.25"/>
  </cols>
  <sheetData>
    <row r="1" ht="16.5" customHeight="1">
      <c r="A1" s="1"/>
      <c r="B1" s="1" t="s">
        <v>0</v>
      </c>
      <c r="C1" s="2" t="s">
        <v>1</v>
      </c>
      <c r="D1" s="1" t="s">
        <v>2</v>
      </c>
      <c r="E1" s="1" t="s">
        <v>3</v>
      </c>
      <c r="F1" s="3" t="s">
        <v>4</v>
      </c>
      <c r="G1" s="1"/>
      <c r="H1" s="1" t="s">
        <v>5</v>
      </c>
      <c r="I1" s="4" t="str">
        <f t="shared" ref="I1:K1" si="1">C1</f>
        <v>FreeTTS.RU (Маргарита)</v>
      </c>
      <c r="J1" s="4" t="str">
        <f t="shared" si="1"/>
        <v>Yandex SpeechKit (Филипп)</v>
      </c>
      <c r="K1" s="4" t="str">
        <f t="shared" si="1"/>
        <v>Сбер SaluteSpeech (Тарас)</v>
      </c>
      <c r="L1" s="4" t="str">
        <f>B1</f>
        <v>Minimax (Articulate Tutor)</v>
      </c>
      <c r="M1" s="4" t="str">
        <f>F1</f>
        <v>X.AI  (Eve)</v>
      </c>
    </row>
    <row r="2">
      <c r="A2" s="5" t="s">
        <v>6</v>
      </c>
      <c r="B2" s="5">
        <v>3.56</v>
      </c>
      <c r="C2" s="5">
        <v>9.8</v>
      </c>
      <c r="D2" s="5">
        <v>7.11</v>
      </c>
      <c r="E2" s="5">
        <v>7.07</v>
      </c>
      <c r="F2" s="5">
        <v>1.32</v>
      </c>
      <c r="I2" s="4">
        <f t="shared" ref="I2:K2" si="2">AVERAGE(C2:C5)</f>
        <v>10.5125</v>
      </c>
      <c r="J2" s="4">
        <f t="shared" si="2"/>
        <v>7.1825</v>
      </c>
      <c r="K2" s="4">
        <f t="shared" si="2"/>
        <v>4.0675</v>
      </c>
      <c r="L2" s="4">
        <f>AVERAGE(B2:B5)</f>
        <v>3.66</v>
      </c>
      <c r="M2" s="4">
        <f>AVERAGE(F2:F5)</f>
        <v>1.26</v>
      </c>
    </row>
    <row r="3">
      <c r="A3" s="5" t="s">
        <v>7</v>
      </c>
      <c r="B3" s="5">
        <v>4.17</v>
      </c>
      <c r="C3" s="5">
        <v>10.01</v>
      </c>
      <c r="D3" s="5">
        <v>5.9</v>
      </c>
      <c r="E3" s="5">
        <v>3.1</v>
      </c>
      <c r="F3" s="5">
        <v>1.4</v>
      </c>
    </row>
    <row r="4">
      <c r="A4" s="5" t="s">
        <v>8</v>
      </c>
      <c r="B4" s="5">
        <v>3.44</v>
      </c>
      <c r="C4" s="5">
        <v>12.54</v>
      </c>
      <c r="D4" s="5">
        <v>7.97</v>
      </c>
      <c r="E4" s="5">
        <v>3.3</v>
      </c>
      <c r="F4" s="5">
        <v>1.21</v>
      </c>
    </row>
    <row r="5">
      <c r="A5" s="5" t="s">
        <v>9</v>
      </c>
      <c r="B5" s="5">
        <v>3.47</v>
      </c>
      <c r="C5" s="5">
        <v>9.7</v>
      </c>
      <c r="D5" s="5">
        <v>7.75</v>
      </c>
      <c r="E5" s="5">
        <v>2.8</v>
      </c>
      <c r="F5" s="5">
        <v>1.11</v>
      </c>
    </row>
    <row r="6">
      <c r="A6" s="5" t="s">
        <v>10</v>
      </c>
      <c r="B6" s="6">
        <f>15/16</f>
        <v>0.9375</v>
      </c>
      <c r="C6" s="6">
        <f>7/16</f>
        <v>0.4375</v>
      </c>
      <c r="D6" s="6">
        <f>5/16</f>
        <v>0.3125</v>
      </c>
      <c r="E6" s="6">
        <f>1/16</f>
        <v>0.0625</v>
      </c>
      <c r="F6" s="6">
        <f>6/16</f>
        <v>0.375</v>
      </c>
    </row>
    <row r="7">
      <c r="A7" s="5" t="s">
        <v>11</v>
      </c>
      <c r="B7" s="6">
        <f>3/14</f>
        <v>0.2142857143</v>
      </c>
      <c r="C7" s="6">
        <f>2/14</f>
        <v>0.1428571429</v>
      </c>
      <c r="D7" s="6">
        <f t="shared" ref="D7:E7" si="3">0/14</f>
        <v>0</v>
      </c>
      <c r="E7" s="6">
        <f t="shared" si="3"/>
        <v>0</v>
      </c>
      <c r="F7" s="6">
        <f>2/14</f>
        <v>0.1428571429</v>
      </c>
    </row>
    <row r="8">
      <c r="A8" s="5" t="s">
        <v>12</v>
      </c>
      <c r="B8" s="6">
        <f>22/30</f>
        <v>0.7333333333</v>
      </c>
      <c r="C8" s="6">
        <f>8/30</f>
        <v>0.2666666667</v>
      </c>
      <c r="D8" s="6">
        <f>11/30</f>
        <v>0.3666666667</v>
      </c>
      <c r="E8" s="6">
        <f>8/30</f>
        <v>0.2666666667</v>
      </c>
      <c r="F8" s="6">
        <f>1/30</f>
        <v>0.03333333333</v>
      </c>
    </row>
    <row r="9">
      <c r="A9" s="5" t="s">
        <v>13</v>
      </c>
      <c r="B9" s="5">
        <v>4.0</v>
      </c>
      <c r="C9" s="5">
        <v>3.0</v>
      </c>
      <c r="D9" s="5">
        <v>1.0</v>
      </c>
      <c r="E9" s="5">
        <v>2.0</v>
      </c>
      <c r="F9" s="5">
        <v>4.0</v>
      </c>
    </row>
    <row r="35">
      <c r="A35" s="1"/>
      <c r="B35" s="1" t="s">
        <v>0</v>
      </c>
      <c r="C35" s="2" t="s">
        <v>1</v>
      </c>
      <c r="D35" s="1" t="s">
        <v>2</v>
      </c>
      <c r="E35" s="1" t="s">
        <v>3</v>
      </c>
      <c r="F35" s="3" t="s">
        <v>4</v>
      </c>
    </row>
    <row r="36">
      <c r="A36" s="5" t="s">
        <v>10</v>
      </c>
      <c r="B36" s="6">
        <f>15/16</f>
        <v>0.9375</v>
      </c>
      <c r="C36" s="6">
        <f>7/16</f>
        <v>0.4375</v>
      </c>
      <c r="D36" s="6">
        <f>5/16</f>
        <v>0.3125</v>
      </c>
      <c r="E36" s="6">
        <f>1/16</f>
        <v>0.0625</v>
      </c>
      <c r="F36" s="6">
        <f>6/16</f>
        <v>0.375</v>
      </c>
    </row>
    <row r="37">
      <c r="A37" s="5" t="s">
        <v>11</v>
      </c>
      <c r="B37" s="6">
        <f>3/14</f>
        <v>0.2142857143</v>
      </c>
      <c r="C37" s="6">
        <f>2/14</f>
        <v>0.1428571429</v>
      </c>
      <c r="D37" s="6">
        <f t="shared" ref="D37:E37" si="4">0/14</f>
        <v>0</v>
      </c>
      <c r="E37" s="6">
        <f t="shared" si="4"/>
        <v>0</v>
      </c>
      <c r="F37" s="6">
        <f>2/14</f>
        <v>0.1428571429</v>
      </c>
    </row>
    <row r="38">
      <c r="A38" s="5" t="s">
        <v>12</v>
      </c>
      <c r="B38" s="6">
        <f>22/30</f>
        <v>0.7333333333</v>
      </c>
      <c r="C38" s="6">
        <f>8/30</f>
        <v>0.2666666667</v>
      </c>
      <c r="D38" s="6">
        <f>11/30</f>
        <v>0.3666666667</v>
      </c>
      <c r="E38" s="6">
        <f>8/30</f>
        <v>0.2666666667</v>
      </c>
      <c r="F38" s="6">
        <f>1/30</f>
        <v>0.03333333333</v>
      </c>
    </row>
    <row r="39">
      <c r="A39" s="5" t="s">
        <v>14</v>
      </c>
      <c r="B39" s="6">
        <f>40/60</f>
        <v>0.6666666667</v>
      </c>
      <c r="C39" s="6">
        <f>17/60</f>
        <v>0.2833333333</v>
      </c>
      <c r="D39" s="6">
        <f>16/60</f>
        <v>0.2666666667</v>
      </c>
      <c r="E39" s="6">
        <f t="shared" ref="E39:F39" si="5">9/60</f>
        <v>0.15</v>
      </c>
      <c r="F39" s="6">
        <f t="shared" si="5"/>
        <v>0.15</v>
      </c>
    </row>
  </sheetData>
  <drawing r:id="rId1"/>
</worksheet>
</file>